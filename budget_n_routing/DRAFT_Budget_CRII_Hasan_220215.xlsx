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roposals and Contracts\Hasan, Monowar\NSF\220215 CRII\1_Proposal\Draft Documents\"/>
    </mc:Choice>
  </mc:AlternateContent>
  <xr:revisionPtr revIDLastSave="0" documentId="13_ncr:1_{863B52B1-E7F5-48C3-A772-47E645C797A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rime Budget" sheetId="2" r:id="rId1"/>
  </sheets>
  <definedNames>
    <definedName name="_xlnm.Print_Area" localSheetId="0">'Prime Budget'!$A$1:$M$76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2" l="1"/>
  <c r="I7" i="2"/>
  <c r="G64" i="2" l="1"/>
  <c r="C20" i="2"/>
  <c r="C18" i="2"/>
  <c r="Q15" i="2"/>
  <c r="Q18" i="2" s="1"/>
  <c r="Q19" i="2" s="1"/>
  <c r="H20" i="2"/>
  <c r="D36" i="2" l="1"/>
  <c r="D47" i="2"/>
  <c r="D51" i="2"/>
  <c r="D57" i="2"/>
  <c r="D61" i="2"/>
  <c r="Q4" i="2" l="1"/>
  <c r="Q5" i="2" s="1"/>
  <c r="D18" i="2" l="1"/>
  <c r="C57" i="2"/>
  <c r="E55" i="2"/>
  <c r="E54" i="2"/>
  <c r="E66" i="2"/>
  <c r="E65" i="2"/>
  <c r="D19" i="2" l="1"/>
  <c r="H13" i="2"/>
  <c r="I13" i="2" s="1"/>
  <c r="C13" i="2" s="1"/>
  <c r="D13" i="2" s="1"/>
  <c r="D14" i="2" s="1"/>
  <c r="C14" i="2" l="1"/>
  <c r="C24" i="2"/>
  <c r="D24" i="2" s="1"/>
  <c r="C64" i="2" l="1"/>
  <c r="D64" i="2" s="1"/>
  <c r="D68" i="2" s="1"/>
  <c r="E14" i="2" l="1"/>
  <c r="E13" i="2"/>
  <c r="H10" i="2"/>
  <c r="H7" i="2"/>
  <c r="D20" i="2" l="1"/>
  <c r="I10" i="2" l="1"/>
  <c r="C10" i="2" s="1"/>
  <c r="D10" i="2" s="1"/>
  <c r="D11" i="2" s="1"/>
  <c r="E67" i="2"/>
  <c r="C61" i="2"/>
  <c r="E60" i="2"/>
  <c r="E61" i="2" s="1"/>
  <c r="E56" i="2"/>
  <c r="E57" i="2" s="1"/>
  <c r="C51" i="2"/>
  <c r="E50" i="2"/>
  <c r="E51" i="2" s="1"/>
  <c r="E46" i="2"/>
  <c r="C36" i="2"/>
  <c r="E35" i="2"/>
  <c r="E36" i="2" s="1"/>
  <c r="G73" i="2"/>
  <c r="C7" i="2"/>
  <c r="D7" i="2" s="1"/>
  <c r="C22" i="2"/>
  <c r="C26" i="2"/>
  <c r="C41" i="2"/>
  <c r="C40" i="2"/>
  <c r="D40" i="2" s="1"/>
  <c r="C45" i="2"/>
  <c r="C47" i="2" s="1"/>
  <c r="D41" i="2" l="1"/>
  <c r="D27" i="2"/>
  <c r="D22" i="2"/>
  <c r="D8" i="2"/>
  <c r="D15" i="2" s="1"/>
  <c r="C19" i="2"/>
  <c r="C42" i="2"/>
  <c r="C30" i="2"/>
  <c r="C8" i="2"/>
  <c r="C11" i="2"/>
  <c r="E45" i="2"/>
  <c r="E47" i="2" s="1"/>
  <c r="C27" i="2"/>
  <c r="C23" i="2"/>
  <c r="C68" i="2"/>
  <c r="E24" i="2"/>
  <c r="D30" i="2" l="1"/>
  <c r="D23" i="2"/>
  <c r="D31" i="2" s="1"/>
  <c r="D42" i="2"/>
  <c r="E41" i="2"/>
  <c r="C31" i="2"/>
  <c r="C32" i="2" s="1"/>
  <c r="C70" i="2" s="1"/>
  <c r="C71" i="2" s="1"/>
  <c r="C15" i="2"/>
  <c r="C28" i="2"/>
  <c r="E20" i="2"/>
  <c r="D32" i="2" l="1"/>
  <c r="D70" i="2" s="1"/>
  <c r="D71" i="2" s="1"/>
  <c r="D72" i="2" s="1"/>
  <c r="D73" i="2" s="1"/>
  <c r="D28" i="2"/>
  <c r="E27" i="2"/>
  <c r="E7" i="2"/>
  <c r="E11" i="2"/>
  <c r="E10" i="2"/>
  <c r="E26" i="2"/>
  <c r="E23" i="2"/>
  <c r="E22" i="2"/>
  <c r="E19" i="2"/>
  <c r="E18" i="2"/>
  <c r="E64" i="2"/>
  <c r="E68" i="2" s="1"/>
  <c r="E40" i="2"/>
  <c r="E42" i="2" s="1"/>
  <c r="C72" i="2"/>
  <c r="E30" i="2" l="1"/>
  <c r="E8" i="2"/>
  <c r="E31" i="2" s="1"/>
  <c r="E28" i="2"/>
  <c r="C73" i="2"/>
  <c r="E15" i="2" l="1"/>
  <c r="E32" i="2"/>
  <c r="E70" i="2"/>
  <c r="E71" i="2"/>
  <c r="J73" i="2" s="1"/>
  <c r="E72" i="2" l="1"/>
  <c r="E7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jmorton</author>
  </authors>
  <commentList>
    <comment ref="A8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jmorton:</t>
        </r>
        <r>
          <rPr>
            <sz val="9"/>
            <color indexed="81"/>
            <rFont val="Tahoma"/>
            <family val="2"/>
          </rPr>
          <t xml:space="preserve">
After discussions with Post-Award, we will interpret “rental costs” to mean building leases ONLY which is in-line with our current practice.  We will not exclude other rental costs such as software rental, conference room rental, etc. from MTDC.  As a reminder, when direct charging building leases (i.e. rent for CEI, PTAC, T3), be sure to call building lease on the budget. </t>
        </r>
      </text>
    </comment>
  </commentList>
</comments>
</file>

<file path=xl/sharedStrings.xml><?xml version="1.0" encoding="utf-8"?>
<sst xmlns="http://schemas.openxmlformats.org/spreadsheetml/2006/main" count="134" uniqueCount="113">
  <si>
    <t>Other Personnel</t>
  </si>
  <si>
    <t>Equipment</t>
  </si>
  <si>
    <t>Supplies</t>
  </si>
  <si>
    <t>Travel</t>
  </si>
  <si>
    <t>Total Direct Costs</t>
  </si>
  <si>
    <t>Total Key Personnel</t>
  </si>
  <si>
    <t>Total Other Personnel</t>
  </si>
  <si>
    <t>Total Salaries &amp; Fringes</t>
  </si>
  <si>
    <t>Total (Direct + Indirect Costs)</t>
  </si>
  <si>
    <t>Annual Base</t>
  </si>
  <si>
    <t>Monthly</t>
  </si>
  <si>
    <t xml:space="preserve"> </t>
  </si>
  <si>
    <t>Total Supplies</t>
  </si>
  <si>
    <t>Total Equipment</t>
  </si>
  <si>
    <t>Total Travel</t>
  </si>
  <si>
    <t>GRA Fringes</t>
  </si>
  <si>
    <t>Insurance</t>
  </si>
  <si>
    <t>Rate</t>
  </si>
  <si>
    <t>Year 1</t>
  </si>
  <si>
    <t>Total</t>
  </si>
  <si>
    <t>Other Expenses</t>
  </si>
  <si>
    <t>#of GRAs</t>
  </si>
  <si>
    <t>T&amp;E</t>
  </si>
  <si>
    <t>Key Personnel</t>
  </si>
  <si>
    <t>Total Salaries</t>
  </si>
  <si>
    <t>Total Fringes</t>
  </si>
  <si>
    <t xml:space="preserve">  International </t>
  </si>
  <si>
    <t>Undergrad Salary</t>
  </si>
  <si>
    <t>Undergrad Fringes</t>
  </si>
  <si>
    <t>Mileage Rate</t>
  </si>
  <si>
    <t>Miles</t>
  </si>
  <si>
    <t>Flight</t>
  </si>
  <si>
    <t>Hotel</t>
  </si>
  <si>
    <t>Per Diem</t>
  </si>
  <si>
    <t># of People</t>
  </si>
  <si>
    <t># of Days</t>
  </si>
  <si>
    <t>Remember the items exempt from indirects:</t>
  </si>
  <si>
    <t>Contract Mo.</t>
  </si>
  <si>
    <t>Sum Mos</t>
  </si>
  <si>
    <t>AY Mos</t>
  </si>
  <si>
    <t>Weeks</t>
  </si>
  <si>
    <t>Hrs/Week</t>
  </si>
  <si>
    <t>Checked by:</t>
  </si>
  <si>
    <t>Unrecovered Indirects:</t>
  </si>
  <si>
    <t>Ins</t>
  </si>
  <si>
    <t>Participant Support Costs</t>
  </si>
  <si>
    <t>Total Participant Support Costs</t>
  </si>
  <si>
    <t>Participants</t>
  </si>
  <si>
    <t>Pay Rate</t>
  </si>
  <si>
    <t>Total Other Expenses</t>
  </si>
  <si>
    <t>*Other</t>
  </si>
  <si>
    <t>*These are calculated in total (not by person)</t>
  </si>
  <si>
    <t>*Ground Trans.</t>
  </si>
  <si>
    <t>1.  Equipment over $5,000</t>
  </si>
  <si>
    <t>Mileage only for Domestic Travel</t>
  </si>
  <si>
    <t>**MTDC</t>
  </si>
  <si>
    <t>Tuition</t>
  </si>
  <si>
    <t># of GRAs</t>
  </si>
  <si>
    <t>Year 2</t>
  </si>
  <si>
    <t>Cr Hrs/AY</t>
  </si>
  <si>
    <t>Fringes:</t>
  </si>
  <si>
    <t>Stipends</t>
  </si>
  <si>
    <t xml:space="preserve">GRA Salary - Summer: </t>
  </si>
  <si>
    <t>Note:  If agency caps indirects, calculate based on Total Direct Costs (TDC), not MTDC.</t>
  </si>
  <si>
    <t>- If needed, 6 Cr Hrs for Summer</t>
  </si>
  <si>
    <t>2.  Participant Support Costs - ALWAYS, per 2 CFR 200.68</t>
  </si>
  <si>
    <t>3.  Stipends (if not processed by Payroll dept. at WSU)</t>
  </si>
  <si>
    <t>5.  Tuition Remission</t>
  </si>
  <si>
    <t>6. Capital Expenditures</t>
  </si>
  <si>
    <t>7. Charges for patient care</t>
  </si>
  <si>
    <t>8. Scholarships/Fellowships</t>
  </si>
  <si>
    <t>9. Rental costs of off-site facilities - "Building Lease Costs" - see cell comment</t>
  </si>
  <si>
    <t xml:space="preserve">PI Fringes: </t>
  </si>
  <si>
    <t xml:space="preserve">Fringes: </t>
  </si>
  <si>
    <t>Total Vendors/Contractors</t>
  </si>
  <si>
    <t>Subreceipients</t>
  </si>
  <si>
    <t>Total Subrecipients</t>
  </si>
  <si>
    <t>**MTDC: If subrecipient, add back 1st $25k, ea. Subrecipient</t>
  </si>
  <si>
    <t>Adjust MTDC Formula for subrecipients</t>
  </si>
  <si>
    <t>4.  Subrecipient amounts in excess of $25,000</t>
  </si>
  <si>
    <t>Contractors</t>
  </si>
  <si>
    <t xml:space="preserve">  Consultants</t>
  </si>
  <si>
    <t xml:space="preserve">  Tuition Remission</t>
  </si>
  <si>
    <t xml:space="preserve">   </t>
  </si>
  <si>
    <t xml:space="preserve">  </t>
  </si>
  <si>
    <t>PhD GRAs - MIN $25k/yr (incl Ins) + fringes</t>
  </si>
  <si>
    <t>Example:</t>
  </si>
  <si>
    <t>Salary</t>
  </si>
  <si>
    <t>Fringes</t>
  </si>
  <si>
    <t>TOTAL</t>
  </si>
  <si>
    <t>Staff</t>
  </si>
  <si>
    <t>Project Supplies</t>
  </si>
  <si>
    <t xml:space="preserve">  Vendors</t>
  </si>
  <si>
    <t>Enter Fringe ($)</t>
  </si>
  <si>
    <t>Enter Salary ($)</t>
  </si>
  <si>
    <t>Fringe(%)</t>
  </si>
  <si>
    <t>Rnd to 0.5%</t>
  </si>
  <si>
    <t>NOTE:  No COLA (Except ins)</t>
  </si>
  <si>
    <t>Fringe Calculation (PWIEBUD)</t>
  </si>
  <si>
    <t>- Add $53.43/Cr Hr for Eng., Bus, &amp; some Hlth Dept. GRAs.</t>
  </si>
  <si>
    <t>Note:  Insurance prorated (based on 20 hrs FT)</t>
  </si>
  <si>
    <t>Note:  Tuition prorated (based on 16 hrs FT)</t>
  </si>
  <si>
    <t>Proposal #: 220215</t>
  </si>
  <si>
    <t>PI: Monowar Hasan</t>
  </si>
  <si>
    <t>Agency: NSF (CRII)</t>
  </si>
  <si>
    <t>Date: 8/27/21</t>
  </si>
  <si>
    <t xml:space="preserve">PhD GRA Salary - Academic Year: </t>
  </si>
  <si>
    <t>n/a</t>
  </si>
  <si>
    <t>Prepared by: SH</t>
  </si>
  <si>
    <t xml:space="preserve">  Domestic: Conference Travel (DC Est.)</t>
  </si>
  <si>
    <t xml:space="preserve">  Journal Publications (IEEE Access)</t>
  </si>
  <si>
    <t>#of UGs (Y1)</t>
  </si>
  <si>
    <t># of UGs (Y2)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</si>
</sst>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_(* #,##0_);_(* \(#,##0\);_(* &quot;-&quot;??_);_(@_)"/>
    <numFmt numFmtId="166" formatCode="_(&quot;$&quot;* #,##0_);_(&quot;$&quot;* \(#,##0\);_(&quot;$&quot;* &quot;-&quot;??_);_(@_)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sz val="11"/>
      <name val="Calibri"/>
      <family val="2"/>
    </font>
    <font>
      <sz val="10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13">
    <xf numFmtId="0" fontId="0" fillId="0" borderId="0" xfId="0"/>
    <xf numFmtId="10" fontId="0" fillId="4" borderId="1" xfId="4" applyNumberFormat="1" applyFont="1" applyFill="1" applyBorder="1" applyProtection="1"/>
    <xf numFmtId="10" fontId="3" fillId="4" borderId="1" xfId="0" applyNumberFormat="1" applyFont="1" applyFill="1" applyBorder="1" applyProtection="1"/>
    <xf numFmtId="0" fontId="3" fillId="0" borderId="0" xfId="0" applyFont="1" applyProtection="1"/>
    <xf numFmtId="0" fontId="15" fillId="0" borderId="0" xfId="0" applyFont="1" applyProtection="1"/>
    <xf numFmtId="0" fontId="0" fillId="0" borderId="0" xfId="0" applyAlignment="1" applyProtection="1">
      <alignment horizontal="center"/>
    </xf>
    <xf numFmtId="0" fontId="0" fillId="0" borderId="0" xfId="0" applyProtection="1"/>
    <xf numFmtId="0" fontId="0" fillId="0" borderId="0" xfId="0" applyFill="1" applyProtection="1"/>
    <xf numFmtId="0" fontId="0" fillId="0" borderId="0" xfId="0" applyBorder="1" applyProtection="1"/>
    <xf numFmtId="0" fontId="0" fillId="0" borderId="1" xfId="0" applyBorder="1" applyProtection="1"/>
    <xf numFmtId="0" fontId="2" fillId="0" borderId="1" xfId="0" applyFont="1" applyBorder="1" applyProtection="1"/>
    <xf numFmtId="0" fontId="3" fillId="0" borderId="1" xfId="0" applyFont="1" applyFill="1" applyBorder="1" applyAlignment="1" applyProtection="1">
      <alignment horizontal="center" wrapText="1"/>
    </xf>
    <xf numFmtId="0" fontId="3" fillId="0" borderId="1" xfId="0" applyFont="1" applyBorder="1" applyAlignment="1" applyProtection="1">
      <alignment horizontal="center" wrapText="1"/>
    </xf>
    <xf numFmtId="0" fontId="3" fillId="0" borderId="3" xfId="0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horizontal="center" wrapText="1"/>
    </xf>
    <xf numFmtId="0" fontId="3" fillId="0" borderId="5" xfId="0" applyFont="1" applyBorder="1" applyProtection="1"/>
    <xf numFmtId="0" fontId="0" fillId="0" borderId="5" xfId="0" applyBorder="1" applyProtection="1"/>
    <xf numFmtId="0" fontId="3" fillId="0" borderId="1" xfId="0" applyFont="1" applyBorder="1" applyProtection="1"/>
    <xf numFmtId="0" fontId="15" fillId="0" borderId="1" xfId="0" applyFont="1" applyBorder="1" applyProtection="1"/>
    <xf numFmtId="0" fontId="1" fillId="0" borderId="1" xfId="0" applyFont="1" applyBorder="1" applyProtection="1"/>
    <xf numFmtId="166" fontId="0" fillId="0" borderId="1" xfId="1" applyNumberFormat="1" applyFont="1" applyFill="1" applyBorder="1" applyProtection="1"/>
    <xf numFmtId="42" fontId="0" fillId="0" borderId="1" xfId="1" applyNumberFormat="1" applyFont="1" applyBorder="1" applyProtection="1"/>
    <xf numFmtId="42" fontId="5" fillId="0" borderId="1" xfId="0" applyNumberFormat="1" applyFont="1" applyBorder="1" applyProtection="1"/>
    <xf numFmtId="42" fontId="0" fillId="0" borderId="1" xfId="1" applyNumberFormat="1" applyFont="1" applyFill="1" applyBorder="1" applyProtection="1"/>
    <xf numFmtId="0" fontId="0" fillId="0" borderId="1" xfId="0" applyFill="1" applyBorder="1" applyProtection="1"/>
    <xf numFmtId="9" fontId="0" fillId="0" borderId="1" xfId="0" applyNumberFormat="1" applyFill="1" applyBorder="1" applyProtection="1"/>
    <xf numFmtId="166" fontId="0" fillId="0" borderId="1" xfId="1" applyNumberFormat="1" applyFont="1" applyBorder="1" applyProtection="1"/>
    <xf numFmtId="42" fontId="8" fillId="0" borderId="1" xfId="0" applyNumberFormat="1" applyFont="1" applyBorder="1" applyProtection="1"/>
    <xf numFmtId="0" fontId="1" fillId="4" borderId="1" xfId="0" applyFont="1" applyFill="1" applyBorder="1" applyProtection="1"/>
    <xf numFmtId="164" fontId="1" fillId="0" borderId="1" xfId="0" applyNumberFormat="1" applyFont="1" applyBorder="1" applyProtection="1"/>
    <xf numFmtId="0" fontId="0" fillId="0" borderId="3" xfId="0" applyBorder="1" applyProtection="1"/>
    <xf numFmtId="0" fontId="1" fillId="0" borderId="0" xfId="0" applyFont="1" applyProtection="1"/>
    <xf numFmtId="42" fontId="3" fillId="0" borderId="1" xfId="1" applyNumberFormat="1" applyFont="1" applyBorder="1" applyProtection="1"/>
    <xf numFmtId="42" fontId="3" fillId="0" borderId="1" xfId="0" applyNumberFormat="1" applyFont="1" applyBorder="1" applyProtection="1"/>
    <xf numFmtId="42" fontId="10" fillId="0" borderId="1" xfId="0" applyNumberFormat="1" applyFont="1" applyBorder="1" applyProtection="1"/>
    <xf numFmtId="9" fontId="0" fillId="0" borderId="1" xfId="0" applyNumberFormat="1" applyBorder="1" applyProtection="1"/>
    <xf numFmtId="166" fontId="0" fillId="0" borderId="0" xfId="1" applyNumberFormat="1" applyFont="1" applyProtection="1"/>
    <xf numFmtId="0" fontId="4" fillId="0" borderId="1" xfId="0" applyFont="1" applyBorder="1" applyProtection="1"/>
    <xf numFmtId="42" fontId="2" fillId="0" borderId="1" xfId="0" applyNumberFormat="1" applyFont="1" applyBorder="1" applyProtection="1"/>
    <xf numFmtId="0" fontId="3" fillId="0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42" fontId="0" fillId="0" borderId="1" xfId="0" applyNumberFormat="1" applyBorder="1" applyProtection="1"/>
    <xf numFmtId="0" fontId="5" fillId="0" borderId="1" xfId="0" applyFont="1" applyBorder="1" applyProtection="1"/>
    <xf numFmtId="42" fontId="10" fillId="0" borderId="1" xfId="1" applyNumberFormat="1" applyFont="1" applyBorder="1" applyProtection="1"/>
    <xf numFmtId="42" fontId="1" fillId="0" borderId="1" xfId="1" applyNumberFormat="1" applyFont="1" applyBorder="1" applyProtection="1"/>
    <xf numFmtId="165" fontId="0" fillId="0" borderId="1" xfId="2" applyNumberFormat="1" applyFont="1" applyFill="1" applyBorder="1" applyProtection="1"/>
    <xf numFmtId="0" fontId="14" fillId="0" borderId="1" xfId="0" quotePrefix="1" applyFont="1" applyBorder="1" applyProtection="1"/>
    <xf numFmtId="8" fontId="0" fillId="0" borderId="1" xfId="1" applyNumberFormat="1" applyFont="1" applyFill="1" applyBorder="1" applyProtection="1"/>
    <xf numFmtId="37" fontId="10" fillId="0" borderId="1" xfId="0" applyNumberFormat="1" applyFont="1" applyBorder="1" applyProtection="1"/>
    <xf numFmtId="44" fontId="0" fillId="0" borderId="1" xfId="1" applyFont="1" applyFill="1" applyBorder="1" applyProtection="1"/>
    <xf numFmtId="0" fontId="6" fillId="2" borderId="1" xfId="0" applyFont="1" applyFill="1" applyBorder="1" applyProtection="1"/>
    <xf numFmtId="0" fontId="15" fillId="2" borderId="1" xfId="0" applyFont="1" applyFill="1" applyBorder="1" applyProtection="1"/>
    <xf numFmtId="42" fontId="6" fillId="2" borderId="1" xfId="1" applyNumberFormat="1" applyFont="1" applyFill="1" applyBorder="1" applyProtection="1"/>
    <xf numFmtId="42" fontId="6" fillId="0" borderId="1" xfId="1" applyNumberFormat="1" applyFont="1" applyFill="1" applyBorder="1" applyProtection="1"/>
    <xf numFmtId="42" fontId="0" fillId="0" borderId="1" xfId="0" applyNumberFormat="1" applyFill="1" applyBorder="1" applyProtection="1"/>
    <xf numFmtId="0" fontId="10" fillId="0" borderId="1" xfId="0" applyFont="1" applyBorder="1" applyProtection="1"/>
    <xf numFmtId="0" fontId="6" fillId="0" borderId="1" xfId="0" applyFont="1" applyFill="1" applyBorder="1" applyProtection="1"/>
    <xf numFmtId="0" fontId="15" fillId="0" borderId="1" xfId="0" applyFont="1" applyFill="1" applyBorder="1" applyProtection="1"/>
    <xf numFmtId="6" fontId="3" fillId="0" borderId="1" xfId="0" applyNumberFormat="1" applyFont="1" applyFill="1" applyBorder="1" applyAlignment="1" applyProtection="1">
      <alignment horizontal="center"/>
    </xf>
    <xf numFmtId="0" fontId="6" fillId="3" borderId="1" xfId="0" applyFont="1" applyFill="1" applyBorder="1" applyProtection="1"/>
    <xf numFmtId="0" fontId="15" fillId="3" borderId="1" xfId="0" applyFont="1" applyFill="1" applyBorder="1" applyProtection="1"/>
    <xf numFmtId="42" fontId="6" fillId="3" borderId="1" xfId="1" applyNumberFormat="1" applyFont="1" applyFill="1" applyBorder="1" applyProtection="1"/>
    <xf numFmtId="0" fontId="3" fillId="0" borderId="3" xfId="0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left"/>
    </xf>
    <xf numFmtId="0" fontId="0" fillId="0" borderId="1" xfId="0" applyFont="1" applyFill="1" applyBorder="1" applyAlignment="1" applyProtection="1">
      <alignment wrapText="1"/>
    </xf>
    <xf numFmtId="8" fontId="0" fillId="0" borderId="1" xfId="0" applyNumberFormat="1" applyFill="1" applyBorder="1" applyProtection="1"/>
    <xf numFmtId="0" fontId="1" fillId="0" borderId="1" xfId="0" applyFont="1" applyBorder="1" applyAlignment="1" applyProtection="1">
      <alignment wrapText="1"/>
    </xf>
    <xf numFmtId="0" fontId="0" fillId="0" borderId="1" xfId="1" applyNumberFormat="1" applyFont="1" applyBorder="1" applyProtection="1"/>
    <xf numFmtId="44" fontId="0" fillId="0" borderId="1" xfId="1" applyFont="1" applyBorder="1" applyProtection="1"/>
    <xf numFmtId="0" fontId="10" fillId="0" borderId="1" xfId="0" applyFont="1" applyBorder="1" applyAlignment="1" applyProtection="1">
      <alignment wrapText="1"/>
    </xf>
    <xf numFmtId="6" fontId="0" fillId="0" borderId="1" xfId="0" applyNumberFormat="1" applyBorder="1" applyProtection="1"/>
    <xf numFmtId="6" fontId="0" fillId="0" borderId="1" xfId="0" applyNumberFormat="1" applyFill="1" applyBorder="1" applyProtection="1"/>
    <xf numFmtId="42" fontId="8" fillId="0" borderId="1" xfId="0" applyNumberFormat="1" applyFont="1" applyFill="1" applyBorder="1" applyProtection="1"/>
    <xf numFmtId="8" fontId="3" fillId="0" borderId="1" xfId="0" applyNumberFormat="1" applyFont="1" applyFill="1" applyBorder="1" applyAlignment="1" applyProtection="1">
      <alignment horizontal="center" wrapText="1"/>
    </xf>
    <xf numFmtId="42" fontId="5" fillId="0" borderId="1" xfId="1" applyNumberFormat="1" applyFont="1" applyBorder="1" applyProtection="1"/>
    <xf numFmtId="0" fontId="7" fillId="0" borderId="2" xfId="0" applyFont="1" applyBorder="1" applyProtection="1"/>
    <xf numFmtId="0" fontId="16" fillId="0" borderId="1" xfId="0" applyFont="1" applyBorder="1" applyProtection="1"/>
    <xf numFmtId="44" fontId="1" fillId="0" borderId="1" xfId="1" applyFont="1" applyBorder="1" applyProtection="1"/>
    <xf numFmtId="38" fontId="1" fillId="0" borderId="1" xfId="0" applyNumberFormat="1" applyFont="1" applyBorder="1" applyProtection="1"/>
    <xf numFmtId="42" fontId="5" fillId="0" borderId="1" xfId="1" applyNumberFormat="1" applyFont="1" applyFill="1" applyBorder="1" applyProtection="1"/>
    <xf numFmtId="44" fontId="1" fillId="0" borderId="1" xfId="1" quotePrefix="1" applyFont="1" applyBorder="1" applyProtection="1"/>
    <xf numFmtId="0" fontId="9" fillId="0" borderId="1" xfId="0" applyFont="1" applyFill="1" applyBorder="1" applyProtection="1"/>
    <xf numFmtId="0" fontId="17" fillId="0" borderId="1" xfId="0" applyFont="1" applyFill="1" applyBorder="1" applyProtection="1"/>
    <xf numFmtId="42" fontId="2" fillId="2" borderId="1" xfId="0" applyNumberFormat="1" applyFont="1" applyFill="1" applyBorder="1" applyProtection="1"/>
    <xf numFmtId="0" fontId="0" fillId="2" borderId="1" xfId="0" applyFill="1" applyBorder="1" applyProtection="1"/>
    <xf numFmtId="9" fontId="5" fillId="0" borderId="1" xfId="0" applyNumberFormat="1" applyFont="1" applyBorder="1" applyAlignment="1" applyProtection="1">
      <alignment horizontal="left"/>
    </xf>
    <xf numFmtId="42" fontId="15" fillId="2" borderId="1" xfId="1" applyNumberFormat="1" applyFont="1" applyFill="1" applyBorder="1" applyProtection="1"/>
    <xf numFmtId="9" fontId="5" fillId="2" borderId="1" xfId="0" applyNumberFormat="1" applyFont="1" applyFill="1" applyBorder="1" applyAlignment="1" applyProtection="1">
      <alignment horizontal="right"/>
    </xf>
    <xf numFmtId="42" fontId="0" fillId="2" borderId="1" xfId="0" applyNumberFormat="1" applyFill="1" applyBorder="1" applyProtection="1"/>
    <xf numFmtId="0" fontId="2" fillId="0" borderId="0" xfId="0" applyFont="1" applyProtection="1"/>
    <xf numFmtId="3" fontId="0" fillId="0" borderId="0" xfId="0" applyNumberFormat="1" applyProtection="1"/>
    <xf numFmtId="42" fontId="0" fillId="0" borderId="0" xfId="0" applyNumberFormat="1" applyProtection="1"/>
    <xf numFmtId="44" fontId="0" fillId="0" borderId="0" xfId="0" applyNumberFormat="1" applyProtection="1"/>
    <xf numFmtId="0" fontId="1" fillId="0" borderId="0" xfId="0" applyFont="1" applyFill="1" applyBorder="1" applyProtection="1"/>
    <xf numFmtId="2" fontId="0" fillId="0" borderId="1" xfId="0" applyNumberFormat="1" applyFill="1" applyBorder="1" applyProtection="1"/>
    <xf numFmtId="0" fontId="1" fillId="0" borderId="1" xfId="0" applyFont="1" applyBorder="1"/>
    <xf numFmtId="164" fontId="1" fillId="0" borderId="1" xfId="0" applyNumberFormat="1" applyFont="1" applyBorder="1"/>
    <xf numFmtId="38" fontId="1" fillId="0" borderId="1" xfId="0" applyNumberFormat="1" applyFont="1" applyBorder="1"/>
    <xf numFmtId="0" fontId="20" fillId="0" borderId="1" xfId="0" quotePrefix="1" applyFont="1" applyBorder="1" applyProtection="1"/>
    <xf numFmtId="0" fontId="20" fillId="0" borderId="1" xfId="0" quotePrefix="1" applyFont="1" applyBorder="1"/>
    <xf numFmtId="165" fontId="0" fillId="0" borderId="0" xfId="0" applyNumberFormat="1" applyProtection="1"/>
    <xf numFmtId="0" fontId="0" fillId="4" borderId="1" xfId="0" applyFill="1" applyBorder="1" applyProtection="1"/>
    <xf numFmtId="44" fontId="1" fillId="4" borderId="1" xfId="1" applyFont="1" applyFill="1" applyBorder="1" applyProtection="1"/>
    <xf numFmtId="0" fontId="3" fillId="4" borderId="0" xfId="0" applyFont="1" applyFill="1"/>
    <xf numFmtId="0" fontId="18" fillId="4" borderId="0" xfId="0" applyFont="1" applyFill="1" applyAlignment="1">
      <alignment vertical="center"/>
    </xf>
    <xf numFmtId="0" fontId="1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left"/>
    </xf>
    <xf numFmtId="166" fontId="0" fillId="4" borderId="0" xfId="1" applyNumberFormat="1" applyFont="1" applyFill="1" applyProtection="1"/>
    <xf numFmtId="166" fontId="0" fillId="4" borderId="1" xfId="1" applyNumberFormat="1" applyFont="1" applyFill="1" applyBorder="1" applyProtection="1"/>
    <xf numFmtId="0" fontId="18" fillId="4" borderId="2" xfId="0" applyFont="1" applyFill="1" applyBorder="1" applyAlignment="1">
      <alignment vertical="center"/>
    </xf>
    <xf numFmtId="166" fontId="0" fillId="4" borderId="4" xfId="1" applyNumberFormat="1" applyFont="1" applyFill="1" applyBorder="1" applyProtection="1"/>
    <xf numFmtId="2" fontId="1" fillId="0" borderId="1" xfId="0" applyNumberFormat="1" applyFont="1" applyFill="1" applyBorder="1" applyProtection="1"/>
  </cellXfs>
  <cellStyles count="5">
    <cellStyle name="Comma" xfId="2" builtinId="3"/>
    <cellStyle name="Comma 2" xfId="3" xr:uid="{63DE0301-BAC5-4B64-A301-F11200FA9438}"/>
    <cellStyle name="Currency" xfId="1" builtinId="4"/>
    <cellStyle name="Normal" xfId="0" builtinId="0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zoomScaleNormal="100" zoomScaleSheetLayoutView="80" workbookViewId="0">
      <selection activeCell="T33" sqref="T33"/>
    </sheetView>
  </sheetViews>
  <sheetFormatPr defaultColWidth="8.85546875" defaultRowHeight="12.75" x14ac:dyDescent="0.2"/>
  <cols>
    <col min="1" max="1" width="38.5703125" style="6" customWidth="1"/>
    <col min="2" max="2" width="7.5703125" style="89" bestFit="1" customWidth="1"/>
    <col min="3" max="5" width="12.7109375" style="6" customWidth="1"/>
    <col min="6" max="6" width="2.42578125" style="6" customWidth="1"/>
    <col min="7" max="7" width="13.28515625" style="6" bestFit="1" customWidth="1"/>
    <col min="8" max="8" width="9.7109375" style="6" bestFit="1" customWidth="1"/>
    <col min="9" max="9" width="10.7109375" style="6" customWidth="1"/>
    <col min="10" max="11" width="14.5703125" style="6" bestFit="1" customWidth="1"/>
    <col min="12" max="12" width="11.42578125" style="6" bestFit="1" customWidth="1"/>
    <col min="13" max="13" width="9.42578125" style="6" bestFit="1" customWidth="1"/>
    <col min="14" max="14" width="1.42578125" style="6" customWidth="1"/>
    <col min="15" max="15" width="11.42578125" style="6" customWidth="1"/>
    <col min="16" max="17" width="14.28515625" style="6" customWidth="1"/>
    <col min="18" max="16384" width="8.85546875" style="6"/>
  </cols>
  <sheetData>
    <row r="1" spans="1:17" x14ac:dyDescent="0.2">
      <c r="A1" s="3" t="s">
        <v>102</v>
      </c>
      <c r="B1" s="4"/>
      <c r="C1" s="5"/>
      <c r="D1" s="5"/>
      <c r="G1" s="7"/>
      <c r="H1" s="7"/>
      <c r="I1" s="7"/>
      <c r="P1" s="15" t="s">
        <v>98</v>
      </c>
      <c r="Q1" s="16"/>
    </row>
    <row r="2" spans="1:17" x14ac:dyDescent="0.2">
      <c r="A2" s="3" t="s">
        <v>103</v>
      </c>
      <c r="B2" s="4"/>
      <c r="C2" s="5"/>
      <c r="D2" s="5"/>
      <c r="G2" s="7"/>
      <c r="H2" s="7"/>
      <c r="I2" s="7"/>
      <c r="P2" s="19" t="s">
        <v>93</v>
      </c>
      <c r="Q2" s="20">
        <v>9031.1200000000008</v>
      </c>
    </row>
    <row r="3" spans="1:17" x14ac:dyDescent="0.2">
      <c r="A3" s="3" t="s">
        <v>104</v>
      </c>
      <c r="B3" s="4"/>
      <c r="G3" s="7"/>
      <c r="H3" s="7"/>
      <c r="I3" s="7"/>
      <c r="N3" s="8"/>
      <c r="O3" s="8"/>
      <c r="P3" s="19" t="s">
        <v>94</v>
      </c>
      <c r="Q3" s="26">
        <v>90000</v>
      </c>
    </row>
    <row r="4" spans="1:17" x14ac:dyDescent="0.2">
      <c r="A4" s="3" t="s">
        <v>105</v>
      </c>
      <c r="B4" s="4"/>
      <c r="G4" s="7"/>
      <c r="H4" s="7"/>
      <c r="I4" s="7"/>
      <c r="N4" s="8"/>
      <c r="O4" s="8"/>
      <c r="P4" s="28" t="s">
        <v>95</v>
      </c>
      <c r="Q4" s="1">
        <f>+Q2/Q3</f>
        <v>0.10034577777777778</v>
      </c>
    </row>
    <row r="5" spans="1:17" x14ac:dyDescent="0.2">
      <c r="A5" s="9"/>
      <c r="B5" s="10"/>
      <c r="C5" s="11" t="s">
        <v>18</v>
      </c>
      <c r="D5" s="11" t="s">
        <v>58</v>
      </c>
      <c r="E5" s="11" t="s">
        <v>19</v>
      </c>
      <c r="F5" s="11"/>
      <c r="G5" s="11" t="s">
        <v>9</v>
      </c>
      <c r="H5" s="11">
        <v>1.03</v>
      </c>
      <c r="I5" s="11" t="s">
        <v>10</v>
      </c>
      <c r="J5" s="12" t="s">
        <v>37</v>
      </c>
      <c r="K5" s="12" t="s">
        <v>38</v>
      </c>
      <c r="L5" s="12" t="s">
        <v>39</v>
      </c>
      <c r="M5" s="12" t="s">
        <v>22</v>
      </c>
      <c r="N5" s="13"/>
      <c r="O5" s="14"/>
      <c r="P5" s="28" t="s">
        <v>96</v>
      </c>
      <c r="Q5" s="2">
        <f>CEILING(Q4,0.005)</f>
        <v>0.105</v>
      </c>
    </row>
    <row r="6" spans="1:17" x14ac:dyDescent="0.2">
      <c r="A6" s="17" t="s">
        <v>23</v>
      </c>
      <c r="B6" s="1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3"/>
      <c r="O6" s="14"/>
    </row>
    <row r="7" spans="1:17" x14ac:dyDescent="0.2">
      <c r="A7" s="19" t="s">
        <v>103</v>
      </c>
      <c r="B7" s="10"/>
      <c r="C7" s="21">
        <f>ROUND((+I7*K7*M7)+(+I7*L7*M7),0)</f>
        <v>8079</v>
      </c>
      <c r="D7" s="21">
        <f>ROUND((C7*$H$5),0)</f>
        <v>8321</v>
      </c>
      <c r="E7" s="22">
        <f>SUM(C7:D7)</f>
        <v>16400</v>
      </c>
      <c r="F7" s="22"/>
      <c r="G7" s="23">
        <v>90000</v>
      </c>
      <c r="H7" s="23">
        <f>+G7</f>
        <v>90000</v>
      </c>
      <c r="I7" s="23">
        <f>+H7/J7</f>
        <v>10000</v>
      </c>
      <c r="J7" s="24">
        <v>9</v>
      </c>
      <c r="K7" s="112">
        <v>0.80789999999999995</v>
      </c>
      <c r="L7" s="24">
        <v>0</v>
      </c>
      <c r="M7" s="25">
        <v>1</v>
      </c>
      <c r="N7" s="13"/>
      <c r="O7" s="14"/>
    </row>
    <row r="8" spans="1:17" x14ac:dyDescent="0.2">
      <c r="A8" s="9" t="s">
        <v>72</v>
      </c>
      <c r="B8" s="96">
        <v>0.18198</v>
      </c>
      <c r="C8" s="21">
        <f>ROUND((C7*$B$8),0)</f>
        <v>1470</v>
      </c>
      <c r="D8" s="21">
        <f>ROUND((D7*$B$8),0)</f>
        <v>1514</v>
      </c>
      <c r="E8" s="22">
        <f>SUM(C8:D8)</f>
        <v>2984</v>
      </c>
      <c r="F8" s="22"/>
      <c r="G8" s="27" t="s">
        <v>11</v>
      </c>
      <c r="H8" s="24"/>
      <c r="I8" s="24"/>
      <c r="J8" s="24"/>
      <c r="K8" s="24"/>
      <c r="L8" s="24"/>
      <c r="M8" s="25"/>
      <c r="N8" s="13"/>
      <c r="O8" s="14"/>
    </row>
    <row r="9" spans="1:17" x14ac:dyDescent="0.2">
      <c r="A9" s="9"/>
      <c r="B9" s="96"/>
      <c r="C9" s="21"/>
      <c r="D9" s="21"/>
      <c r="E9" s="22"/>
      <c r="F9" s="22"/>
      <c r="G9" s="27"/>
      <c r="H9" s="24"/>
      <c r="I9" s="24"/>
      <c r="J9" s="24"/>
      <c r="K9" s="24"/>
      <c r="L9" s="24"/>
      <c r="M9" s="25"/>
      <c r="N9" s="13"/>
      <c r="O9" s="14"/>
    </row>
    <row r="10" spans="1:17" x14ac:dyDescent="0.2">
      <c r="A10" s="19" t="s">
        <v>90</v>
      </c>
      <c r="B10" s="19"/>
      <c r="C10" s="21">
        <f>ROUND((+I10*K10*M10)+(+I10*L10*M10),0)</f>
        <v>0</v>
      </c>
      <c r="D10" s="21">
        <f>ROUND((C10*$H$5),0)</f>
        <v>0</v>
      </c>
      <c r="E10" s="22">
        <f>SUM(C10:D10)</f>
        <v>0</v>
      </c>
      <c r="F10" s="22"/>
      <c r="G10" s="23">
        <v>0</v>
      </c>
      <c r="H10" s="23">
        <f>+G10</f>
        <v>0</v>
      </c>
      <c r="I10" s="23">
        <f>+H10/J10</f>
        <v>0</v>
      </c>
      <c r="J10" s="24">
        <v>9</v>
      </c>
      <c r="K10" s="24"/>
      <c r="L10" s="24"/>
      <c r="M10" s="25">
        <v>1</v>
      </c>
      <c r="N10" s="30"/>
      <c r="O10" s="8"/>
    </row>
    <row r="11" spans="1:17" x14ac:dyDescent="0.2">
      <c r="A11" s="19" t="s">
        <v>60</v>
      </c>
      <c r="B11" s="95">
        <v>0.37</v>
      </c>
      <c r="C11" s="21">
        <f>ROUND((C10*$B11),0)</f>
        <v>0</v>
      </c>
      <c r="D11" s="21">
        <f>ROUND((D10*$B11),0)</f>
        <v>0</v>
      </c>
      <c r="E11" s="22">
        <f>SUM(C11:D11)</f>
        <v>0</v>
      </c>
      <c r="F11" s="22"/>
      <c r="G11" s="27" t="s">
        <v>11</v>
      </c>
      <c r="H11" s="24"/>
      <c r="I11" s="24"/>
      <c r="J11" s="24"/>
      <c r="K11" s="24"/>
      <c r="L11" s="24"/>
      <c r="M11" s="25"/>
      <c r="N11" s="30"/>
      <c r="O11" s="8"/>
    </row>
    <row r="12" spans="1:17" ht="15" x14ac:dyDescent="0.2">
      <c r="A12" s="19"/>
      <c r="B12" s="29"/>
      <c r="C12" s="21"/>
      <c r="D12" s="21"/>
      <c r="E12" s="22"/>
      <c r="F12" s="22"/>
      <c r="G12" s="27"/>
      <c r="H12" s="24"/>
      <c r="I12" s="24"/>
      <c r="J12" s="24"/>
      <c r="K12" s="24"/>
      <c r="L12" s="24"/>
      <c r="M12" s="25"/>
      <c r="N12" s="30"/>
      <c r="O12" s="8"/>
      <c r="P12" s="103" t="s">
        <v>97</v>
      </c>
      <c r="Q12" s="104"/>
    </row>
    <row r="13" spans="1:17" x14ac:dyDescent="0.2">
      <c r="A13" s="19" t="s">
        <v>90</v>
      </c>
      <c r="B13" s="19"/>
      <c r="C13" s="21">
        <f>ROUND((+I13*K13*M13)+(+I13*L13*M13),0)</f>
        <v>0</v>
      </c>
      <c r="D13" s="21">
        <f>ROUND((C13*$H$5),0)</f>
        <v>0</v>
      </c>
      <c r="E13" s="22">
        <f>SUM(C13:D13)</f>
        <v>0</v>
      </c>
      <c r="F13" s="22"/>
      <c r="G13" s="23">
        <v>0</v>
      </c>
      <c r="H13" s="23">
        <f>+G13</f>
        <v>0</v>
      </c>
      <c r="I13" s="23">
        <f>+H13/J13</f>
        <v>0</v>
      </c>
      <c r="J13" s="24">
        <v>9</v>
      </c>
      <c r="K13" s="24"/>
      <c r="L13" s="24"/>
      <c r="M13" s="25">
        <v>1</v>
      </c>
      <c r="N13" s="30"/>
      <c r="O13" s="8"/>
      <c r="P13" s="105" t="s">
        <v>85</v>
      </c>
      <c r="Q13" s="106"/>
    </row>
    <row r="14" spans="1:17" x14ac:dyDescent="0.2">
      <c r="A14" s="19" t="s">
        <v>73</v>
      </c>
      <c r="B14" s="95">
        <v>0.37</v>
      </c>
      <c r="C14" s="21">
        <f>ROUND((C13*$B14),0)</f>
        <v>0</v>
      </c>
      <c r="D14" s="21">
        <f>ROUND((D13*$B14),0)</f>
        <v>0</v>
      </c>
      <c r="E14" s="22">
        <f>SUM(C14:D14)</f>
        <v>0</v>
      </c>
      <c r="F14" s="22"/>
      <c r="G14" s="27" t="s">
        <v>11</v>
      </c>
      <c r="H14" s="24"/>
      <c r="I14" s="24"/>
      <c r="J14" s="24"/>
      <c r="K14" s="24"/>
      <c r="L14" s="24"/>
      <c r="M14" s="25"/>
      <c r="N14" s="30"/>
      <c r="O14" s="8"/>
      <c r="P14" s="107" t="s">
        <v>86</v>
      </c>
      <c r="Q14" s="106"/>
    </row>
    <row r="15" spans="1:17" ht="15" x14ac:dyDescent="0.2">
      <c r="A15" s="17" t="s">
        <v>5</v>
      </c>
      <c r="B15" s="17"/>
      <c r="C15" s="32">
        <f>SUM(C7:C14)</f>
        <v>9549</v>
      </c>
      <c r="D15" s="32">
        <f>SUM(D7:D14)</f>
        <v>9835</v>
      </c>
      <c r="E15" s="32">
        <f>SUM(E7:E14)</f>
        <v>19384</v>
      </c>
      <c r="F15" s="33"/>
      <c r="G15" s="34"/>
      <c r="H15" s="24"/>
      <c r="I15" s="24"/>
      <c r="J15" s="9"/>
      <c r="K15" s="9"/>
      <c r="L15" s="9"/>
      <c r="M15" s="35"/>
      <c r="N15" s="8"/>
      <c r="O15" s="8"/>
      <c r="P15" s="104" t="s">
        <v>87</v>
      </c>
      <c r="Q15" s="108">
        <f>25000-Q16</f>
        <v>23462</v>
      </c>
    </row>
    <row r="16" spans="1:17" x14ac:dyDescent="0.2">
      <c r="A16" s="37"/>
      <c r="B16" s="19"/>
      <c r="C16" s="21"/>
      <c r="D16" s="21"/>
      <c r="E16" s="38" t="s">
        <v>11</v>
      </c>
      <c r="F16" s="9"/>
      <c r="G16" s="24"/>
      <c r="H16" s="24"/>
      <c r="I16" s="24"/>
      <c r="J16" s="9"/>
      <c r="K16" s="9"/>
      <c r="L16" s="9"/>
      <c r="M16" s="35"/>
      <c r="N16" s="8"/>
      <c r="O16" s="8"/>
      <c r="P16" s="106" t="s">
        <v>16</v>
      </c>
      <c r="Q16" s="108">
        <v>1538</v>
      </c>
    </row>
    <row r="17" spans="1:17" x14ac:dyDescent="0.2">
      <c r="A17" s="17" t="s">
        <v>0</v>
      </c>
      <c r="B17" s="17"/>
      <c r="C17" s="21"/>
      <c r="D17" s="21"/>
      <c r="E17" s="9"/>
      <c r="F17" s="9"/>
      <c r="G17" s="39" t="s">
        <v>40</v>
      </c>
      <c r="H17" s="39" t="s">
        <v>17</v>
      </c>
      <c r="I17" s="40" t="s">
        <v>21</v>
      </c>
      <c r="J17" s="40" t="s">
        <v>41</v>
      </c>
      <c r="K17" s="40"/>
      <c r="L17" s="40"/>
      <c r="M17" s="40"/>
      <c r="P17" s="106"/>
      <c r="Q17" s="109">
        <v>25000</v>
      </c>
    </row>
    <row r="18" spans="1:17" ht="15" x14ac:dyDescent="0.2">
      <c r="A18" s="19" t="s">
        <v>106</v>
      </c>
      <c r="B18" s="17"/>
      <c r="C18" s="23">
        <f>Q15</f>
        <v>23462</v>
      </c>
      <c r="D18" s="23">
        <f>+C18</f>
        <v>23462</v>
      </c>
      <c r="E18" s="22">
        <f>SUM(C18:D18)</f>
        <v>46924</v>
      </c>
      <c r="F18" s="41"/>
      <c r="G18" s="101">
        <v>52</v>
      </c>
      <c r="H18" s="102" t="s">
        <v>107</v>
      </c>
      <c r="I18" s="101">
        <v>1</v>
      </c>
      <c r="J18" s="28" t="s">
        <v>107</v>
      </c>
      <c r="K18" s="9"/>
      <c r="L18" s="9"/>
      <c r="M18" s="9"/>
      <c r="P18" s="104" t="s">
        <v>88</v>
      </c>
      <c r="Q18" s="108">
        <f>+Q15*0.00968</f>
        <v>227.11215999999999</v>
      </c>
    </row>
    <row r="19" spans="1:17" ht="15" x14ac:dyDescent="0.2">
      <c r="A19" s="42" t="s">
        <v>15</v>
      </c>
      <c r="B19" s="96">
        <v>9.6799999999999994E-3</v>
      </c>
      <c r="C19" s="43">
        <f>ROUND((C18*$B$19),0)</f>
        <v>227</v>
      </c>
      <c r="D19" s="44">
        <f>ROUND((D18*$B$19),0)</f>
        <v>227</v>
      </c>
      <c r="E19" s="22">
        <f>SUM(C19:D19)</f>
        <v>454</v>
      </c>
      <c r="F19" s="41"/>
      <c r="G19" s="27"/>
      <c r="H19" s="40" t="s">
        <v>44</v>
      </c>
      <c r="I19" s="24"/>
      <c r="J19" s="9"/>
      <c r="K19" s="9"/>
      <c r="L19" s="9"/>
      <c r="M19" s="9"/>
      <c r="P19" s="110" t="s">
        <v>89</v>
      </c>
      <c r="Q19" s="111">
        <f>+Q17+Q18</f>
        <v>25227.112160000001</v>
      </c>
    </row>
    <row r="20" spans="1:17" x14ac:dyDescent="0.2">
      <c r="A20" s="42" t="s">
        <v>16</v>
      </c>
      <c r="B20" s="17"/>
      <c r="C20" s="21">
        <f>ROUND((+H20+H24)*I18,0)</f>
        <v>1847</v>
      </c>
      <c r="D20" s="44">
        <f>ROUND((C20*$H$5),0)</f>
        <v>1902</v>
      </c>
      <c r="E20" s="22">
        <f>SUM(C20:D20)</f>
        <v>3749</v>
      </c>
      <c r="F20" s="41"/>
      <c r="G20" s="27"/>
      <c r="H20" s="45">
        <f>769.12*2</f>
        <v>1538.24</v>
      </c>
      <c r="I20" s="99" t="s">
        <v>100</v>
      </c>
      <c r="J20" s="9"/>
      <c r="K20" s="9"/>
      <c r="L20" s="9"/>
      <c r="M20" s="9"/>
    </row>
    <row r="21" spans="1:17" x14ac:dyDescent="0.2">
      <c r="A21" s="42"/>
      <c r="B21" s="17"/>
      <c r="C21" s="21"/>
      <c r="D21" s="21"/>
      <c r="E21" s="22"/>
      <c r="F21" s="41"/>
      <c r="G21" s="27"/>
      <c r="H21" s="24"/>
      <c r="I21" s="24"/>
      <c r="J21" s="9"/>
      <c r="K21" s="9"/>
      <c r="L21" s="9"/>
      <c r="M21" s="9"/>
    </row>
    <row r="22" spans="1:17" x14ac:dyDescent="0.2">
      <c r="A22" s="19" t="s">
        <v>62</v>
      </c>
      <c r="B22" s="17"/>
      <c r="C22" s="23">
        <f>ROUND((G22*H22*J22*I22),0)</f>
        <v>0</v>
      </c>
      <c r="D22" s="23">
        <f>+C22</f>
        <v>0</v>
      </c>
      <c r="E22" s="22">
        <f>SUM(C22:D22)</f>
        <v>0</v>
      </c>
      <c r="F22" s="41"/>
      <c r="G22" s="24">
        <v>12</v>
      </c>
      <c r="H22" s="47">
        <v>8.58</v>
      </c>
      <c r="I22" s="9">
        <v>0</v>
      </c>
      <c r="J22" s="9">
        <v>40</v>
      </c>
      <c r="K22" s="9"/>
      <c r="L22" s="9"/>
      <c r="M22" s="9"/>
    </row>
    <row r="23" spans="1:17" x14ac:dyDescent="0.2">
      <c r="A23" s="42" t="s">
        <v>15</v>
      </c>
      <c r="B23" s="96">
        <v>9.6799999999999994E-3</v>
      </c>
      <c r="C23" s="43">
        <f>ROUND((C22*$B$23),0)</f>
        <v>0</v>
      </c>
      <c r="D23" s="44">
        <f>ROUND((D22*$B$23),0)</f>
        <v>0</v>
      </c>
      <c r="E23" s="22">
        <f>SUM(C23:D23)</f>
        <v>0</v>
      </c>
      <c r="F23" s="41"/>
      <c r="G23" s="27"/>
      <c r="H23" s="40" t="s">
        <v>44</v>
      </c>
      <c r="I23" s="24"/>
      <c r="J23" s="9"/>
      <c r="K23" s="9"/>
      <c r="L23" s="9"/>
      <c r="M23" s="9"/>
      <c r="Q23" s="36"/>
    </row>
    <row r="24" spans="1:17" x14ac:dyDescent="0.2">
      <c r="A24" s="42" t="s">
        <v>16</v>
      </c>
      <c r="B24" s="17"/>
      <c r="C24" s="21">
        <f>ROUND((+H24)*I22,0)</f>
        <v>0</v>
      </c>
      <c r="D24" s="44">
        <f>ROUND((C24*$H$5),0)</f>
        <v>0</v>
      </c>
      <c r="E24" s="22">
        <f>SUM(C24:D24)</f>
        <v>0</v>
      </c>
      <c r="F24" s="41"/>
      <c r="G24" s="27"/>
      <c r="H24" s="24">
        <v>309</v>
      </c>
      <c r="I24" s="24"/>
      <c r="J24" s="9"/>
      <c r="K24" s="9"/>
      <c r="L24" s="9"/>
      <c r="M24" s="9"/>
    </row>
    <row r="25" spans="1:17" x14ac:dyDescent="0.2">
      <c r="A25" s="42"/>
      <c r="B25" s="17"/>
      <c r="C25" s="21"/>
      <c r="D25" s="21"/>
      <c r="E25" s="22"/>
      <c r="F25" s="41"/>
      <c r="G25" s="39" t="s">
        <v>40</v>
      </c>
      <c r="H25" s="39" t="s">
        <v>17</v>
      </c>
      <c r="I25" s="40" t="s">
        <v>111</v>
      </c>
      <c r="J25" s="40" t="s">
        <v>41</v>
      </c>
      <c r="K25" s="17" t="s">
        <v>112</v>
      </c>
      <c r="L25" s="9"/>
      <c r="M25" s="9"/>
    </row>
    <row r="26" spans="1:17" x14ac:dyDescent="0.2">
      <c r="A26" s="9" t="s">
        <v>27</v>
      </c>
      <c r="B26" s="17"/>
      <c r="C26" s="21">
        <f>ROUND((G26*H26*J26*I26),0)</f>
        <v>11520</v>
      </c>
      <c r="D26" s="21">
        <f>G26*J26*K26*H26</f>
        <v>17280</v>
      </c>
      <c r="E26" s="22">
        <f>SUM(C26:D26)</f>
        <v>28800</v>
      </c>
      <c r="F26" s="41"/>
      <c r="G26" s="48">
        <v>12</v>
      </c>
      <c r="H26" s="49">
        <v>12</v>
      </c>
      <c r="I26" s="24">
        <v>2</v>
      </c>
      <c r="J26" s="9">
        <v>40</v>
      </c>
      <c r="K26" s="9">
        <v>3</v>
      </c>
      <c r="L26" s="9"/>
      <c r="M26" s="9"/>
      <c r="O26" s="100"/>
    </row>
    <row r="27" spans="1:17" x14ac:dyDescent="0.2">
      <c r="A27" s="9" t="s">
        <v>28</v>
      </c>
      <c r="B27" s="96">
        <v>9.6799999999999994E-3</v>
      </c>
      <c r="C27" s="21">
        <f>ROUND((C26*$B$27),0)</f>
        <v>112</v>
      </c>
      <c r="D27" s="21">
        <f>ROUND((D26*$B$27),0)</f>
        <v>167</v>
      </c>
      <c r="E27" s="22">
        <f>SUM(C27:D27)</f>
        <v>279</v>
      </c>
      <c r="F27" s="41"/>
      <c r="G27" s="27"/>
      <c r="H27" s="24"/>
      <c r="I27" s="24"/>
      <c r="J27" s="9"/>
      <c r="K27" s="9"/>
      <c r="L27" s="9"/>
      <c r="M27" s="9"/>
    </row>
    <row r="28" spans="1:17" x14ac:dyDescent="0.2">
      <c r="A28" s="17" t="s">
        <v>6</v>
      </c>
      <c r="B28" s="18"/>
      <c r="C28" s="32">
        <f>SUM(C18:C27)</f>
        <v>37168</v>
      </c>
      <c r="D28" s="32">
        <f>SUM(D18:D27)</f>
        <v>43038</v>
      </c>
      <c r="E28" s="32">
        <f>SUM(E18:E27)</f>
        <v>80206</v>
      </c>
      <c r="F28" s="33"/>
      <c r="G28" s="27" t="s">
        <v>11</v>
      </c>
      <c r="H28" s="24"/>
      <c r="I28" s="24"/>
      <c r="J28" s="9"/>
      <c r="K28" s="9"/>
      <c r="L28" s="9"/>
      <c r="M28" s="9"/>
    </row>
    <row r="29" spans="1:17" x14ac:dyDescent="0.2">
      <c r="A29" s="17"/>
      <c r="B29" s="18"/>
      <c r="C29" s="32"/>
      <c r="D29" s="32"/>
      <c r="E29" s="33"/>
      <c r="F29" s="33"/>
      <c r="G29" s="27"/>
      <c r="H29" s="24"/>
      <c r="I29" s="24"/>
      <c r="J29" s="9"/>
      <c r="K29" s="9"/>
      <c r="L29" s="9"/>
      <c r="M29" s="9"/>
    </row>
    <row r="30" spans="1:17" x14ac:dyDescent="0.2">
      <c r="A30" s="17" t="s">
        <v>24</v>
      </c>
      <c r="B30" s="18"/>
      <c r="C30" s="32">
        <f>ROUND((C7+C10+C13+C18+C22+C26),0)</f>
        <v>43061</v>
      </c>
      <c r="D30" s="32">
        <f>ROUND((D7+D10+D13+D18+D22+D26),0)</f>
        <v>49063</v>
      </c>
      <c r="E30" s="32">
        <f>ROUND((E7+E10+E13+E18+E22+E26),0)</f>
        <v>92124</v>
      </c>
      <c r="F30" s="33"/>
      <c r="G30" s="27"/>
      <c r="H30" s="24"/>
      <c r="I30" s="24"/>
      <c r="J30" s="9"/>
      <c r="K30" s="9"/>
      <c r="L30" s="9"/>
      <c r="M30" s="9"/>
    </row>
    <row r="31" spans="1:17" x14ac:dyDescent="0.2">
      <c r="A31" s="17" t="s">
        <v>25</v>
      </c>
      <c r="B31" s="18"/>
      <c r="C31" s="32">
        <f>ROUND((C8+C11+C14+C19+C20+C23+C24+C27),0)</f>
        <v>3656</v>
      </c>
      <c r="D31" s="32">
        <f>ROUND((D8+D11+D14+D19+D20+D23+D24+D27),0)</f>
        <v>3810</v>
      </c>
      <c r="E31" s="32">
        <f>ROUND((E8+E11+E14+E19+E20+E23+E24+E27),0)</f>
        <v>7466</v>
      </c>
      <c r="F31" s="41"/>
      <c r="G31" s="24"/>
      <c r="H31" s="24"/>
      <c r="I31" s="24"/>
      <c r="J31" s="9"/>
      <c r="K31" s="9"/>
      <c r="L31" s="9"/>
      <c r="M31" s="9"/>
    </row>
    <row r="32" spans="1:17" ht="15" x14ac:dyDescent="0.25">
      <c r="A32" s="50" t="s">
        <v>7</v>
      </c>
      <c r="B32" s="51"/>
      <c r="C32" s="52">
        <f>SUM(C30:C31)</f>
        <v>46717</v>
      </c>
      <c r="D32" s="52">
        <f t="shared" ref="D32" si="0">SUM(D30:D31)</f>
        <v>52873</v>
      </c>
      <c r="E32" s="52">
        <f>SUM(E30:E31)</f>
        <v>99590</v>
      </c>
      <c r="F32" s="53"/>
      <c r="G32" s="27" t="s">
        <v>11</v>
      </c>
      <c r="H32" s="24"/>
      <c r="I32" s="24"/>
      <c r="J32" s="9"/>
      <c r="K32" s="9"/>
      <c r="L32" s="9"/>
      <c r="M32" s="9"/>
    </row>
    <row r="33" spans="1:17" x14ac:dyDescent="0.2">
      <c r="A33" s="37"/>
      <c r="B33" s="10"/>
      <c r="C33" s="21"/>
      <c r="D33" s="21"/>
      <c r="E33" s="38" t="s">
        <v>11</v>
      </c>
      <c r="F33" s="38"/>
      <c r="G33" s="54"/>
      <c r="H33" s="24"/>
      <c r="I33" s="24"/>
      <c r="J33" s="9"/>
      <c r="K33" s="9"/>
      <c r="L33" s="9"/>
      <c r="M33" s="9"/>
    </row>
    <row r="34" spans="1:17" x14ac:dyDescent="0.2">
      <c r="A34" s="17" t="s">
        <v>1</v>
      </c>
      <c r="B34" s="18"/>
      <c r="C34" s="21"/>
      <c r="D34" s="21"/>
      <c r="E34" s="9"/>
      <c r="F34" s="9"/>
      <c r="G34" s="24"/>
      <c r="H34" s="24"/>
      <c r="I34" s="24"/>
      <c r="J34" s="9"/>
      <c r="K34" s="9"/>
      <c r="L34" s="9"/>
      <c r="M34" s="9"/>
    </row>
    <row r="35" spans="1:17" x14ac:dyDescent="0.2">
      <c r="A35" s="55"/>
      <c r="B35" s="18"/>
      <c r="C35" s="21">
        <v>0</v>
      </c>
      <c r="D35" s="21">
        <v>0</v>
      </c>
      <c r="E35" s="22">
        <f>SUM(C35:D35)</f>
        <v>0</v>
      </c>
      <c r="F35" s="9"/>
      <c r="G35" s="27"/>
      <c r="H35" s="24"/>
      <c r="I35" s="24"/>
      <c r="J35" s="9"/>
      <c r="K35" s="9"/>
      <c r="L35" s="9"/>
      <c r="M35" s="9"/>
    </row>
    <row r="36" spans="1:17" ht="15" x14ac:dyDescent="0.25">
      <c r="A36" s="50" t="s">
        <v>13</v>
      </c>
      <c r="B36" s="51"/>
      <c r="C36" s="52">
        <f>SUM(C35)</f>
        <v>0</v>
      </c>
      <c r="D36" s="52">
        <f t="shared" ref="D36" si="1">SUM(D35)</f>
        <v>0</v>
      </c>
      <c r="E36" s="52">
        <f>SUM(E35)</f>
        <v>0</v>
      </c>
      <c r="F36" s="9"/>
      <c r="G36" s="27" t="s">
        <v>11</v>
      </c>
      <c r="H36" s="24"/>
      <c r="I36" s="24"/>
      <c r="J36" s="9"/>
      <c r="K36" s="9"/>
      <c r="L36" s="9"/>
      <c r="M36" s="9"/>
    </row>
    <row r="37" spans="1:17" s="7" customFormat="1" ht="15" x14ac:dyDescent="0.25">
      <c r="A37" s="56"/>
      <c r="B37" s="57"/>
      <c r="C37" s="53"/>
      <c r="D37" s="53"/>
      <c r="E37" s="53"/>
      <c r="F37" s="24"/>
      <c r="G37" s="39" t="s">
        <v>29</v>
      </c>
      <c r="H37" s="58" t="s">
        <v>30</v>
      </c>
      <c r="I37" s="24"/>
      <c r="J37" s="24"/>
      <c r="K37" s="24"/>
      <c r="L37" s="24"/>
      <c r="M37" s="24"/>
      <c r="P37" s="6"/>
      <c r="Q37" s="6"/>
    </row>
    <row r="38" spans="1:17" ht="15" x14ac:dyDescent="0.25">
      <c r="A38" s="59"/>
      <c r="B38" s="60"/>
      <c r="C38" s="61"/>
      <c r="D38" s="61"/>
      <c r="E38" s="61"/>
      <c r="F38" s="9"/>
      <c r="G38" s="94">
        <v>0.56000000000000005</v>
      </c>
      <c r="H38" s="24"/>
      <c r="I38" s="24"/>
      <c r="J38" s="9"/>
      <c r="K38" s="9"/>
      <c r="L38" s="9"/>
      <c r="M38" s="9"/>
      <c r="N38" s="3" t="s">
        <v>54</v>
      </c>
      <c r="O38" s="3"/>
    </row>
    <row r="39" spans="1:17" x14ac:dyDescent="0.2">
      <c r="A39" s="17" t="s">
        <v>3</v>
      </c>
      <c r="B39" s="18"/>
      <c r="C39" s="9"/>
      <c r="D39" s="9"/>
      <c r="E39" s="9"/>
      <c r="F39" s="9"/>
      <c r="G39" s="39" t="s">
        <v>31</v>
      </c>
      <c r="H39" s="58" t="s">
        <v>32</v>
      </c>
      <c r="I39" s="40" t="s">
        <v>33</v>
      </c>
      <c r="J39" s="40" t="s">
        <v>52</v>
      </c>
      <c r="K39" s="40" t="s">
        <v>50</v>
      </c>
      <c r="L39" s="40" t="s">
        <v>34</v>
      </c>
      <c r="M39" s="40" t="s">
        <v>35</v>
      </c>
      <c r="N39" s="62" t="s">
        <v>51</v>
      </c>
      <c r="O39" s="63"/>
    </row>
    <row r="40" spans="1:17" x14ac:dyDescent="0.2">
      <c r="A40" s="17" t="s">
        <v>109</v>
      </c>
      <c r="B40" s="18"/>
      <c r="C40" s="44">
        <f>ROUND(((H40+I40)*(L40*M40)+(G40*L40)+(J40+K40)+($G$38*$H$38)),0)</f>
        <v>3679</v>
      </c>
      <c r="D40" s="44">
        <f>ROUND((C40*$H$5),0)</f>
        <v>3789</v>
      </c>
      <c r="E40" s="22">
        <f>SUM(C40:D40)</f>
        <v>7468</v>
      </c>
      <c r="F40" s="9"/>
      <c r="G40" s="24">
        <v>400</v>
      </c>
      <c r="H40" s="9">
        <v>258</v>
      </c>
      <c r="I40" s="9">
        <v>76</v>
      </c>
      <c r="J40" s="9">
        <v>100</v>
      </c>
      <c r="K40" s="9">
        <v>775</v>
      </c>
      <c r="L40" s="9">
        <v>2</v>
      </c>
      <c r="M40" s="9">
        <v>3</v>
      </c>
    </row>
    <row r="41" spans="1:17" x14ac:dyDescent="0.2">
      <c r="A41" s="17" t="s">
        <v>26</v>
      </c>
      <c r="B41" s="18"/>
      <c r="C41" s="44">
        <f>ROUND(((H41+I41)*(L41*M41)+(G41*L41)+(J41+K41)),0)</f>
        <v>0</v>
      </c>
      <c r="D41" s="44">
        <f>ROUND((C41*$H$5),0)</f>
        <v>0</v>
      </c>
      <c r="E41" s="22">
        <f>SUM(C41:D41)</f>
        <v>0</v>
      </c>
      <c r="F41" s="9"/>
      <c r="G41" s="9"/>
      <c r="H41" s="9"/>
      <c r="I41" s="9"/>
      <c r="J41" s="9"/>
      <c r="K41" s="9"/>
      <c r="L41" s="9"/>
      <c r="M41" s="9"/>
    </row>
    <row r="42" spans="1:17" ht="15" x14ac:dyDescent="0.25">
      <c r="A42" s="50" t="s">
        <v>14</v>
      </c>
      <c r="B42" s="51"/>
      <c r="C42" s="52">
        <f>SUM(C40:C41)</f>
        <v>3679</v>
      </c>
      <c r="D42" s="52">
        <f>SUM(D40:D41)</f>
        <v>3789</v>
      </c>
      <c r="E42" s="52">
        <f>SUM(E40:E41)</f>
        <v>7468</v>
      </c>
      <c r="F42" s="9"/>
      <c r="G42" s="9"/>
      <c r="H42" s="9"/>
      <c r="I42" s="9"/>
      <c r="J42" s="9"/>
      <c r="K42" s="9"/>
      <c r="L42" s="9"/>
      <c r="M42" s="9"/>
    </row>
    <row r="43" spans="1:17" x14ac:dyDescent="0.2">
      <c r="A43" s="64"/>
      <c r="B43" s="10"/>
      <c r="C43" s="9"/>
      <c r="D43" s="9"/>
      <c r="E43" s="27"/>
      <c r="F43" s="9"/>
      <c r="G43" s="24"/>
      <c r="H43" s="65"/>
      <c r="I43" s="9"/>
      <c r="J43" s="9"/>
      <c r="K43" s="9"/>
      <c r="L43" s="9"/>
      <c r="M43" s="9"/>
    </row>
    <row r="44" spans="1:17" x14ac:dyDescent="0.2">
      <c r="A44" s="17" t="s">
        <v>45</v>
      </c>
      <c r="B44" s="18"/>
      <c r="C44" s="21"/>
      <c r="D44" s="21"/>
      <c r="E44" s="9"/>
      <c r="F44" s="9"/>
      <c r="G44" s="40" t="s">
        <v>47</v>
      </c>
      <c r="H44" s="40" t="s">
        <v>48</v>
      </c>
      <c r="I44" s="9"/>
      <c r="J44" s="9"/>
      <c r="K44" s="9"/>
      <c r="L44" s="9"/>
      <c r="M44" s="9"/>
    </row>
    <row r="45" spans="1:17" x14ac:dyDescent="0.2">
      <c r="A45" s="66" t="s">
        <v>61</v>
      </c>
      <c r="B45" s="10"/>
      <c r="C45" s="23">
        <f>ROUND((+$G$45*$H$45),0)</f>
        <v>0</v>
      </c>
      <c r="D45" s="23">
        <v>0</v>
      </c>
      <c r="E45" s="22">
        <f>SUM(C45:D45)</f>
        <v>0</v>
      </c>
      <c r="F45" s="9"/>
      <c r="G45" s="67"/>
      <c r="H45" s="68"/>
      <c r="I45" s="9"/>
      <c r="J45" s="9"/>
      <c r="K45" s="9"/>
      <c r="L45" s="9"/>
      <c r="M45" s="9"/>
    </row>
    <row r="46" spans="1:17" x14ac:dyDescent="0.2">
      <c r="A46" s="69"/>
      <c r="B46" s="10"/>
      <c r="C46" s="23">
        <v>0</v>
      </c>
      <c r="D46" s="23">
        <v>0</v>
      </c>
      <c r="E46" s="22">
        <f>SUM(C46:D46)</f>
        <v>0</v>
      </c>
      <c r="F46" s="9"/>
      <c r="G46" s="27"/>
      <c r="H46" s="70"/>
      <c r="I46" s="9"/>
      <c r="J46" s="9"/>
      <c r="K46" s="9"/>
      <c r="L46" s="9"/>
      <c r="M46" s="9"/>
    </row>
    <row r="47" spans="1:17" ht="15" x14ac:dyDescent="0.25">
      <c r="A47" s="50" t="s">
        <v>46</v>
      </c>
      <c r="B47" s="51"/>
      <c r="C47" s="52">
        <f>SUM(C45:C46)</f>
        <v>0</v>
      </c>
      <c r="D47" s="52">
        <f t="shared" ref="D47:E47" si="2">SUM(D45:D46)</f>
        <v>0</v>
      </c>
      <c r="E47" s="52">
        <f t="shared" si="2"/>
        <v>0</v>
      </c>
      <c r="F47" s="9"/>
      <c r="G47" s="27"/>
      <c r="H47" s="24"/>
      <c r="I47" s="71"/>
      <c r="J47" s="9"/>
      <c r="K47" s="9"/>
      <c r="L47" s="9"/>
      <c r="M47" s="9"/>
    </row>
    <row r="48" spans="1:17" s="7" customFormat="1" ht="15" x14ac:dyDescent="0.25">
      <c r="A48" s="56"/>
      <c r="B48" s="57"/>
      <c r="C48" s="53"/>
      <c r="D48" s="53"/>
      <c r="E48" s="53"/>
      <c r="F48" s="24"/>
      <c r="G48" s="72"/>
      <c r="H48" s="24"/>
      <c r="I48" s="71"/>
      <c r="J48" s="24"/>
      <c r="K48" s="24"/>
      <c r="L48" s="24"/>
      <c r="M48" s="24"/>
      <c r="P48" s="6"/>
      <c r="Q48" s="6"/>
    </row>
    <row r="49" spans="1:13" x14ac:dyDescent="0.2">
      <c r="A49" s="17" t="s">
        <v>2</v>
      </c>
      <c r="B49" s="18"/>
      <c r="C49" s="21"/>
      <c r="D49" s="21"/>
      <c r="E49" s="9"/>
      <c r="F49" s="9"/>
      <c r="G49" s="40"/>
      <c r="H49" s="40"/>
      <c r="I49" s="9"/>
      <c r="J49" s="9"/>
      <c r="K49" s="9"/>
      <c r="L49" s="9"/>
      <c r="M49" s="9"/>
    </row>
    <row r="50" spans="1:13" x14ac:dyDescent="0.2">
      <c r="A50" s="19" t="s">
        <v>91</v>
      </c>
      <c r="B50" s="10"/>
      <c r="C50" s="23">
        <v>0</v>
      </c>
      <c r="D50" s="23">
        <v>0</v>
      </c>
      <c r="E50" s="22">
        <f>SUM(C50:D50)</f>
        <v>0</v>
      </c>
      <c r="F50" s="9"/>
      <c r="G50" s="27"/>
      <c r="H50" s="70"/>
      <c r="I50" s="9"/>
      <c r="J50" s="9"/>
      <c r="K50" s="9"/>
      <c r="L50" s="9"/>
      <c r="M50" s="9"/>
    </row>
    <row r="51" spans="1:13" ht="15" x14ac:dyDescent="0.25">
      <c r="A51" s="50" t="s">
        <v>12</v>
      </c>
      <c r="B51" s="51"/>
      <c r="C51" s="52">
        <f>SUM(C50)</f>
        <v>0</v>
      </c>
      <c r="D51" s="52">
        <f t="shared" ref="D51:E51" si="3">SUM(D50)</f>
        <v>0</v>
      </c>
      <c r="E51" s="52">
        <f t="shared" si="3"/>
        <v>0</v>
      </c>
      <c r="F51" s="9"/>
      <c r="G51" s="27"/>
      <c r="H51" s="24"/>
      <c r="I51" s="71"/>
      <c r="J51" s="9"/>
      <c r="K51" s="9"/>
      <c r="L51" s="9"/>
      <c r="M51" s="9"/>
    </row>
    <row r="52" spans="1:13" x14ac:dyDescent="0.2">
      <c r="A52" s="37"/>
      <c r="B52" s="10"/>
      <c r="C52" s="21"/>
      <c r="D52" s="21"/>
      <c r="E52" s="38" t="s">
        <v>11</v>
      </c>
      <c r="F52" s="9"/>
      <c r="G52" s="24"/>
      <c r="H52" s="24"/>
      <c r="I52" s="71"/>
      <c r="J52" s="9"/>
      <c r="K52" s="9"/>
      <c r="L52" s="9"/>
      <c r="M52" s="9"/>
    </row>
    <row r="53" spans="1:13" x14ac:dyDescent="0.2">
      <c r="A53" s="17" t="s">
        <v>80</v>
      </c>
      <c r="B53" s="10"/>
      <c r="C53" s="9"/>
      <c r="D53" s="9"/>
      <c r="E53" s="9"/>
      <c r="F53" s="9"/>
      <c r="G53" s="39"/>
      <c r="H53" s="39"/>
      <c r="I53" s="73"/>
      <c r="J53" s="40"/>
      <c r="K53" s="40"/>
      <c r="L53" s="40"/>
      <c r="M53" s="40"/>
    </row>
    <row r="54" spans="1:13" x14ac:dyDescent="0.2">
      <c r="A54" s="19" t="s">
        <v>92</v>
      </c>
      <c r="B54" s="10"/>
      <c r="C54" s="23">
        <v>0</v>
      </c>
      <c r="D54" s="23">
        <v>0</v>
      </c>
      <c r="E54" s="74">
        <f>SUM(C54:D54)</f>
        <v>0</v>
      </c>
      <c r="F54" s="9"/>
      <c r="G54" s="39"/>
      <c r="H54" s="39"/>
      <c r="I54" s="73"/>
      <c r="J54" s="40"/>
      <c r="K54" s="40"/>
      <c r="L54" s="40"/>
      <c r="M54" s="40"/>
    </row>
    <row r="55" spans="1:13" x14ac:dyDescent="0.2">
      <c r="A55" s="19" t="s">
        <v>81</v>
      </c>
      <c r="B55" s="10"/>
      <c r="C55" s="23">
        <v>0</v>
      </c>
      <c r="D55" s="23">
        <v>0</v>
      </c>
      <c r="E55" s="74">
        <f>SUM(C55:D55)</f>
        <v>0</v>
      </c>
      <c r="F55" s="9"/>
      <c r="G55" s="39"/>
      <c r="H55" s="39"/>
      <c r="I55" s="73"/>
      <c r="J55" s="40"/>
      <c r="K55" s="40"/>
      <c r="L55" s="40"/>
      <c r="M55" s="40"/>
    </row>
    <row r="56" spans="1:13" x14ac:dyDescent="0.2">
      <c r="A56" s="55"/>
      <c r="B56" s="10"/>
      <c r="C56" s="23">
        <v>0</v>
      </c>
      <c r="D56" s="23">
        <v>0</v>
      </c>
      <c r="E56" s="74">
        <f>SUM(C56:D56)</f>
        <v>0</v>
      </c>
      <c r="F56" s="9"/>
      <c r="G56" s="9"/>
      <c r="H56" s="70"/>
      <c r="I56" s="9"/>
      <c r="J56" s="9"/>
      <c r="K56" s="9"/>
      <c r="L56" s="9"/>
      <c r="M56" s="9"/>
    </row>
    <row r="57" spans="1:13" ht="15" x14ac:dyDescent="0.25">
      <c r="A57" s="50" t="s">
        <v>74</v>
      </c>
      <c r="B57" s="51"/>
      <c r="C57" s="52">
        <f>SUM(C54:C56)</f>
        <v>0</v>
      </c>
      <c r="D57" s="52">
        <f t="shared" ref="D57:E57" si="4">SUM(D54:D56)</f>
        <v>0</v>
      </c>
      <c r="E57" s="52">
        <f t="shared" si="4"/>
        <v>0</v>
      </c>
      <c r="F57" s="9"/>
      <c r="G57" s="9"/>
      <c r="H57" s="9"/>
      <c r="I57" s="9"/>
      <c r="J57" s="9"/>
      <c r="K57" s="9"/>
      <c r="L57" s="9"/>
      <c r="M57" s="9"/>
    </row>
    <row r="58" spans="1:13" x14ac:dyDescent="0.2">
      <c r="A58" s="75"/>
      <c r="B58" s="7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">
      <c r="A59" s="17" t="s">
        <v>75</v>
      </c>
      <c r="B59" s="10"/>
      <c r="C59" s="9"/>
      <c r="D59" s="9"/>
      <c r="E59" s="9"/>
      <c r="F59" s="9"/>
      <c r="G59" s="39"/>
      <c r="H59" s="39"/>
      <c r="I59" s="73"/>
      <c r="J59" s="40"/>
      <c r="K59" s="40"/>
      <c r="L59" s="40"/>
      <c r="M59" s="40"/>
    </row>
    <row r="60" spans="1:13" x14ac:dyDescent="0.2">
      <c r="A60" s="55"/>
      <c r="B60" s="10"/>
      <c r="C60" s="23">
        <v>0</v>
      </c>
      <c r="D60" s="23">
        <v>0</v>
      </c>
      <c r="E60" s="74">
        <f>SUM(C60:D60)</f>
        <v>0</v>
      </c>
      <c r="F60" s="9"/>
      <c r="G60" s="9"/>
      <c r="H60" s="70"/>
      <c r="I60" s="9"/>
      <c r="J60" s="9"/>
      <c r="K60" s="9"/>
      <c r="L60" s="9"/>
      <c r="M60" s="9"/>
    </row>
    <row r="61" spans="1:13" ht="15" x14ac:dyDescent="0.25">
      <c r="A61" s="50" t="s">
        <v>76</v>
      </c>
      <c r="B61" s="51"/>
      <c r="C61" s="52">
        <f t="shared" ref="C61:D61" si="5">SUM(C60)</f>
        <v>0</v>
      </c>
      <c r="D61" s="52">
        <f t="shared" si="5"/>
        <v>0</v>
      </c>
      <c r="E61" s="52">
        <f>SUM(E60)</f>
        <v>0</v>
      </c>
      <c r="F61" s="9"/>
      <c r="G61" s="9"/>
      <c r="H61" s="9"/>
      <c r="I61" s="9"/>
      <c r="J61" s="9"/>
      <c r="K61" s="9"/>
      <c r="L61" s="9"/>
      <c r="M61" s="9"/>
    </row>
    <row r="62" spans="1:13" x14ac:dyDescent="0.2">
      <c r="A62" s="75"/>
      <c r="B62" s="76"/>
      <c r="C62" s="9"/>
      <c r="D62" s="9"/>
      <c r="E62" s="9"/>
      <c r="F62" s="9"/>
      <c r="G62" s="99" t="s">
        <v>101</v>
      </c>
      <c r="H62" s="9"/>
      <c r="I62" s="9"/>
      <c r="J62" s="9"/>
      <c r="K62" s="9"/>
      <c r="L62" s="9"/>
      <c r="M62" s="9"/>
    </row>
    <row r="63" spans="1:13" x14ac:dyDescent="0.2">
      <c r="A63" s="3" t="s">
        <v>20</v>
      </c>
      <c r="B63" s="10"/>
      <c r="C63" s="9"/>
      <c r="D63" s="9"/>
      <c r="E63" s="9"/>
      <c r="F63" s="9"/>
      <c r="G63" s="39" t="s">
        <v>56</v>
      </c>
      <c r="H63" s="39" t="s">
        <v>59</v>
      </c>
      <c r="I63" s="39" t="s">
        <v>57</v>
      </c>
      <c r="J63" s="98" t="s">
        <v>64</v>
      </c>
      <c r="K63" s="9"/>
      <c r="L63" s="9"/>
      <c r="M63" s="9"/>
    </row>
    <row r="64" spans="1:13" x14ac:dyDescent="0.2">
      <c r="A64" s="66" t="s">
        <v>82</v>
      </c>
      <c r="B64" s="10"/>
      <c r="C64" s="74">
        <f>ROUND(((G64*H64*I64)),0)</f>
        <v>6879</v>
      </c>
      <c r="D64" s="74">
        <f>ROUND((C64*$H$5),0)</f>
        <v>7085</v>
      </c>
      <c r="E64" s="22">
        <f>SUM(C64:D64)</f>
        <v>13964</v>
      </c>
      <c r="F64" s="9"/>
      <c r="G64" s="77">
        <f>328.73+53.43</f>
        <v>382.16</v>
      </c>
      <c r="H64" s="97">
        <v>18</v>
      </c>
      <c r="I64" s="97">
        <v>1</v>
      </c>
      <c r="J64" s="99" t="s">
        <v>99</v>
      </c>
      <c r="K64" s="9"/>
      <c r="L64" s="9"/>
      <c r="M64" s="9"/>
    </row>
    <row r="65" spans="1:15" x14ac:dyDescent="0.2">
      <c r="A65" s="66" t="s">
        <v>110</v>
      </c>
      <c r="B65" s="10"/>
      <c r="C65" s="79">
        <v>0</v>
      </c>
      <c r="D65" s="79">
        <v>1750</v>
      </c>
      <c r="E65" s="22">
        <f>SUM(C65:D65)</f>
        <v>1750</v>
      </c>
      <c r="F65" s="9"/>
      <c r="G65" s="77"/>
      <c r="H65" s="78"/>
      <c r="I65" s="78"/>
      <c r="J65" s="46"/>
      <c r="K65" s="9"/>
      <c r="L65" s="9"/>
      <c r="M65" s="9"/>
    </row>
    <row r="66" spans="1:15" x14ac:dyDescent="0.2">
      <c r="A66" s="66" t="s">
        <v>84</v>
      </c>
      <c r="B66" s="10"/>
      <c r="C66" s="79">
        <v>0</v>
      </c>
      <c r="D66" s="79">
        <v>0</v>
      </c>
      <c r="E66" s="22">
        <f>SUM(C66:D66)</f>
        <v>0</v>
      </c>
      <c r="F66" s="9"/>
      <c r="G66" s="77"/>
      <c r="H66" s="78"/>
      <c r="I66" s="78"/>
      <c r="J66" s="46"/>
      <c r="K66" s="9"/>
      <c r="L66" s="9"/>
      <c r="M66" s="9"/>
    </row>
    <row r="67" spans="1:15" x14ac:dyDescent="0.2">
      <c r="A67" s="66" t="s">
        <v>83</v>
      </c>
      <c r="B67" s="10"/>
      <c r="C67" s="79">
        <v>0</v>
      </c>
      <c r="D67" s="79">
        <v>0</v>
      </c>
      <c r="E67" s="22">
        <f>SUM(C67:D67)</f>
        <v>0</v>
      </c>
      <c r="F67" s="9"/>
      <c r="G67" s="80"/>
      <c r="H67" s="39"/>
      <c r="I67" s="39"/>
      <c r="J67" s="39"/>
      <c r="K67" s="39"/>
      <c r="L67" s="39"/>
      <c r="M67" s="39"/>
    </row>
    <row r="68" spans="1:15" ht="15" x14ac:dyDescent="0.25">
      <c r="A68" s="50" t="s">
        <v>49</v>
      </c>
      <c r="B68" s="51"/>
      <c r="C68" s="52">
        <f>SUM(C64:C67)</f>
        <v>6879</v>
      </c>
      <c r="D68" s="52">
        <f>SUM(D64:D67)</f>
        <v>8835</v>
      </c>
      <c r="E68" s="52">
        <f>SUM(E64:E67)</f>
        <v>15714</v>
      </c>
      <c r="F68" s="9"/>
      <c r="G68" s="27"/>
      <c r="H68" s="9"/>
      <c r="I68" s="9"/>
      <c r="J68" s="9"/>
      <c r="K68" s="9"/>
      <c r="L68" s="9"/>
      <c r="M68" s="9"/>
    </row>
    <row r="69" spans="1:15" ht="15" x14ac:dyDescent="0.25">
      <c r="A69" s="81"/>
      <c r="B69" s="82"/>
      <c r="C69" s="81"/>
      <c r="D69" s="81"/>
      <c r="E69" s="41"/>
      <c r="F69" s="9"/>
      <c r="G69" s="42"/>
      <c r="H69" s="9"/>
      <c r="I69" s="9"/>
      <c r="J69" s="9"/>
      <c r="K69" s="9"/>
      <c r="L69" s="9"/>
      <c r="M69" s="9"/>
    </row>
    <row r="70" spans="1:15" ht="15" x14ac:dyDescent="0.25">
      <c r="A70" s="50" t="s">
        <v>4</v>
      </c>
      <c r="B70" s="51"/>
      <c r="C70" s="52">
        <f>ROUND((C32+C36+C42+C47+C51+C57+C61+C68),0)</f>
        <v>57275</v>
      </c>
      <c r="D70" s="52">
        <f>ROUND((D32+D36+D42+D47+D51+D57+D61+D68),0)</f>
        <v>65497</v>
      </c>
      <c r="E70" s="52">
        <f>SUM(C70:D70)</f>
        <v>122772</v>
      </c>
      <c r="F70" s="9"/>
      <c r="G70" s="27"/>
      <c r="H70" s="9"/>
      <c r="I70" s="9"/>
      <c r="J70" s="9" t="s">
        <v>11</v>
      </c>
      <c r="K70" s="9" t="s">
        <v>11</v>
      </c>
      <c r="L70" s="9"/>
      <c r="M70" s="9"/>
    </row>
    <row r="71" spans="1:15" x14ac:dyDescent="0.2">
      <c r="A71" s="42" t="s">
        <v>55</v>
      </c>
      <c r="B71" s="10"/>
      <c r="C71" s="21">
        <f>ROUND((C70-C36-C47-C61-C64),0)</f>
        <v>50396</v>
      </c>
      <c r="D71" s="21">
        <f>ROUND((D70-D36-D47-D61-D64),0)</f>
        <v>58412</v>
      </c>
      <c r="E71" s="22">
        <f>SUM(C71:D71)</f>
        <v>108808</v>
      </c>
      <c r="F71" s="9"/>
      <c r="G71" s="83" t="s">
        <v>78</v>
      </c>
      <c r="H71" s="84"/>
      <c r="I71" s="84"/>
      <c r="J71" s="9"/>
      <c r="K71" s="9"/>
      <c r="L71" s="9"/>
      <c r="M71" s="9"/>
      <c r="N71" s="3" t="s">
        <v>77</v>
      </c>
      <c r="O71" s="3"/>
    </row>
    <row r="72" spans="1:15" x14ac:dyDescent="0.2">
      <c r="A72" s="85">
        <v>0.48</v>
      </c>
      <c r="B72" s="10" t="s">
        <v>11</v>
      </c>
      <c r="C72" s="21">
        <f>ROUND((C71*$A$72),0)</f>
        <v>24190</v>
      </c>
      <c r="D72" s="21">
        <f t="shared" ref="D72" si="6">ROUND((D71*$A$72),0)</f>
        <v>28038</v>
      </c>
      <c r="E72" s="22">
        <f>SUM(C72:D72)</f>
        <v>52228</v>
      </c>
      <c r="F72" s="9"/>
      <c r="G72" s="27"/>
      <c r="H72" s="9"/>
      <c r="I72" s="9"/>
      <c r="J72" s="9"/>
      <c r="K72" s="9"/>
      <c r="L72" s="9"/>
      <c r="M72" s="9"/>
    </row>
    <row r="73" spans="1:15" ht="15" x14ac:dyDescent="0.25">
      <c r="A73" s="52" t="s">
        <v>8</v>
      </c>
      <c r="B73" s="86"/>
      <c r="C73" s="52">
        <f t="shared" ref="C73:D73" si="7">SUM(C70+C72)</f>
        <v>81465</v>
      </c>
      <c r="D73" s="52">
        <f t="shared" si="7"/>
        <v>93535</v>
      </c>
      <c r="E73" s="52">
        <f>SUM(E70+E72)</f>
        <v>175000</v>
      </c>
      <c r="F73" s="9"/>
      <c r="G73" s="87">
        <f>0.48-A72</f>
        <v>0</v>
      </c>
      <c r="H73" s="84" t="s">
        <v>43</v>
      </c>
      <c r="I73" s="84"/>
      <c r="J73" s="88">
        <f>+E71*G73</f>
        <v>0</v>
      </c>
      <c r="K73" s="9"/>
      <c r="L73" s="9"/>
      <c r="M73" s="9"/>
    </row>
    <row r="74" spans="1:15" x14ac:dyDescent="0.2">
      <c r="C74" s="90"/>
      <c r="D74" s="90"/>
      <c r="F74" s="8"/>
      <c r="G74" s="8"/>
      <c r="H74" s="8"/>
      <c r="I74" s="8"/>
      <c r="J74" s="8"/>
      <c r="K74" s="8"/>
      <c r="L74" s="8"/>
      <c r="M74" s="8"/>
    </row>
    <row r="75" spans="1:15" x14ac:dyDescent="0.2">
      <c r="A75" s="31" t="s">
        <v>108</v>
      </c>
      <c r="C75" s="90"/>
      <c r="D75" s="90"/>
      <c r="F75" s="8"/>
      <c r="G75" s="8"/>
      <c r="H75" s="8"/>
      <c r="I75" s="8"/>
      <c r="J75" s="8"/>
      <c r="K75" s="8"/>
      <c r="L75" s="8"/>
      <c r="M75" s="8"/>
    </row>
    <row r="76" spans="1:15" x14ac:dyDescent="0.2">
      <c r="A76" s="6" t="s">
        <v>42</v>
      </c>
      <c r="C76" s="90"/>
      <c r="D76" s="90"/>
      <c r="F76" s="8"/>
      <c r="G76" s="8"/>
      <c r="H76" s="8"/>
      <c r="I76" s="8"/>
      <c r="J76" s="8"/>
      <c r="K76" s="8"/>
      <c r="L76" s="8"/>
      <c r="M76" s="8"/>
    </row>
    <row r="77" spans="1:15" x14ac:dyDescent="0.2">
      <c r="C77" s="90"/>
      <c r="D77" s="90"/>
      <c r="F77" s="8"/>
      <c r="G77" s="8"/>
      <c r="H77" s="8"/>
      <c r="I77" s="8"/>
      <c r="J77" s="8"/>
      <c r="K77" s="8"/>
      <c r="L77" s="8"/>
      <c r="M77" s="8"/>
    </row>
    <row r="78" spans="1:15" x14ac:dyDescent="0.2">
      <c r="A78" s="6" t="s">
        <v>63</v>
      </c>
      <c r="C78" s="91"/>
      <c r="D78" s="91"/>
      <c r="E78" s="92"/>
      <c r="F78" s="8"/>
      <c r="G78" s="8"/>
      <c r="H78" s="8"/>
      <c r="I78" s="8"/>
      <c r="J78" s="8"/>
      <c r="K78" s="8"/>
      <c r="L78" s="8"/>
      <c r="M78" s="8"/>
    </row>
    <row r="80" spans="1:15" x14ac:dyDescent="0.2">
      <c r="A80" s="31" t="s">
        <v>36</v>
      </c>
    </row>
    <row r="81" spans="1:1" x14ac:dyDescent="0.2">
      <c r="A81" s="93" t="s">
        <v>53</v>
      </c>
    </row>
    <row r="82" spans="1:1" x14ac:dyDescent="0.2">
      <c r="A82" s="93" t="s">
        <v>65</v>
      </c>
    </row>
    <row r="83" spans="1:1" x14ac:dyDescent="0.2">
      <c r="A83" s="93" t="s">
        <v>66</v>
      </c>
    </row>
    <row r="84" spans="1:1" x14ac:dyDescent="0.2">
      <c r="A84" s="93" t="s">
        <v>79</v>
      </c>
    </row>
    <row r="85" spans="1:1" x14ac:dyDescent="0.2">
      <c r="A85" s="93" t="s">
        <v>67</v>
      </c>
    </row>
    <row r="86" spans="1:1" x14ac:dyDescent="0.2">
      <c r="A86" s="6" t="s">
        <v>68</v>
      </c>
    </row>
    <row r="87" spans="1:1" x14ac:dyDescent="0.2">
      <c r="A87" s="6" t="s">
        <v>69</v>
      </c>
    </row>
    <row r="88" spans="1:1" x14ac:dyDescent="0.2">
      <c r="A88" s="6" t="s">
        <v>70</v>
      </c>
    </row>
    <row r="89" spans="1:1" x14ac:dyDescent="0.2">
      <c r="A89" s="6" t="s">
        <v>71</v>
      </c>
    </row>
  </sheetData>
  <phoneticPr fontId="2" type="noConversion"/>
  <pageMargins left="0.75" right="0.75" top="1" bottom="1" header="0.5" footer="0.5"/>
  <pageSetup scale="57" orientation="landscape" r:id="rId1"/>
  <headerFooter alignWithMargins="0"/>
  <rowBreaks count="1" manualBreakCount="1">
    <brk id="76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Prime Budget</vt:lpstr>
      <vt:lpstr>'Prime Budget'!Print_Area</vt:lpstr>
    </vt:vector>
  </TitlesOfParts>
  <Company>NIAR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DWerth</dc:creator>
  <cp:lastModifiedBy>SHaug</cp:lastModifiedBy>
  <cp:lastPrinted>2011-10-03T15:19:28Z</cp:lastPrinted>
  <dcterms:created xsi:type="dcterms:W3CDTF">2007-10-04T17:13:53Z</dcterms:created>
  <dcterms:modified xsi:type="dcterms:W3CDTF">2021-08-31T21:24:02Z</dcterms:modified>
</cp:coreProperties>
</file>